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202300"/>
  <mc:AlternateContent xmlns:mc="http://schemas.openxmlformats.org/markup-compatibility/2006">
    <mc:Choice Requires="x15">
      <x15ac:absPath xmlns:x15ac="http://schemas.microsoft.com/office/spreadsheetml/2010/11/ac" url="D:\System\BaoCaoHauKiem\"/>
    </mc:Choice>
  </mc:AlternateContent>
  <xr:revisionPtr revIDLastSave="0" documentId="8_{4B86BA28-75AB-4EF1-AFC6-453E662C11B4}" xr6:coauthVersionLast="47" xr6:coauthVersionMax="47" xr10:uidLastSave="{00000000-0000-0000-0000-000000000000}"/>
  <bookViews>
    <workbookView xWindow="-120" yWindow="-120" windowWidth="29040" windowHeight="15720" xr2:uid="{AFDB76DB-A6E4-4CBC-96CB-DDD654AE2337}"/>
  </bookViews>
  <sheets>
    <sheet name="T3.2026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69" i="1" l="1"/>
  <c r="E68" i="1"/>
  <c r="E67" i="1"/>
  <c r="E66" i="1"/>
  <c r="E65" i="1"/>
  <c r="E71" i="1" s="1"/>
  <c r="I25" i="1"/>
  <c r="J25" i="1" s="1"/>
  <c r="H25" i="1"/>
  <c r="G25" i="1"/>
  <c r="E25" i="1"/>
  <c r="J24" i="1"/>
  <c r="J23" i="1"/>
  <c r="J22" i="1"/>
  <c r="J21" i="1"/>
  <c r="J20" i="1"/>
  <c r="J19" i="1"/>
  <c r="J18" i="1"/>
  <c r="I16" i="1"/>
  <c r="J16" i="1" s="1"/>
  <c r="H16" i="1"/>
  <c r="G16" i="1"/>
  <c r="E16" i="1"/>
  <c r="J15" i="1"/>
  <c r="J14" i="1"/>
  <c r="J13" i="1"/>
  <c r="J12" i="1"/>
  <c r="J11" i="1"/>
  <c r="J10" i="1"/>
  <c r="J9" i="1"/>
</calcChain>
</file>

<file path=xl/sharedStrings.xml><?xml version="1.0" encoding="utf-8"?>
<sst xmlns="http://schemas.openxmlformats.org/spreadsheetml/2006/main" count="86" uniqueCount="73">
  <si>
    <t>NGÂN HÀNG NÔNG NGHIỆP VÀ PHÁT TRIỂN NÔNG THÔN VIỆT NAM</t>
  </si>
  <si>
    <t>CỘNG HÒA XÃ HỘI CHỦ NGHĨA VIỆT NAM</t>
  </si>
  <si>
    <t>Phòng Kiểm soát nội bộ và hỗ trợ vận hành - Trung tâm Thanh toán</t>
  </si>
  <si>
    <t>Độc lập - Tự do - Hạnh phúc</t>
  </si>
  <si>
    <t>BÁO CÁO TỔNG HỢP HẬU KIỂM PHÒNG QUẢN LÝ TÀI KHOẢN NOSTRO, VOSTRO</t>
  </si>
  <si>
    <t>Tháng 03 năm 2026</t>
  </si>
  <si>
    <t>STT</t>
  </si>
  <si>
    <t>User</t>
  </si>
  <si>
    <t>Họ Tên User</t>
  </si>
  <si>
    <t>Hậu kiểm viên thực hiện</t>
  </si>
  <si>
    <t>Tổng GD thủ công đã HK</t>
  </si>
  <si>
    <t xml:space="preserve">Tổng BT chưa HK </t>
  </si>
  <si>
    <t>Tổng BT
 hủy</t>
  </si>
  <si>
    <t>Hủy do NN khách quan</t>
  </si>
  <si>
    <t>Hủy do NN chủ quan</t>
  </si>
  <si>
    <t>% (BT
 hủy do NN chủ quan/Tổng GD thủ công đã HK)</t>
  </si>
  <si>
    <t xml:space="preserve">Nguyên nhân </t>
  </si>
  <si>
    <t>I. HỆ THỐNG IPCAS</t>
  </si>
  <si>
    <t>HQTTHUONG1</t>
  </si>
  <si>
    <t>Tạ Thu Hương</t>
  </si>
  <si>
    <t>HQPHUONGTV</t>
  </si>
  <si>
    <t>HQBQTRUNG</t>
  </si>
  <si>
    <t>Bùi Quang Trung</t>
  </si>
  <si>
    <t>HQTPTH</t>
  </si>
  <si>
    <t>Hủy BT 3 ngày 10/03/2026 do HT sai số tiền; Hủy  BT 20 ngày 25/03/2026 do HT sai số tiền; Hủy  BT 2 ngày 27/03/2026 do CN không đủ hạn mức dư nợ đồng EUR; Hủy BT 21 ngày 27/03/2026 do HT nhầm báo nợ thành báo có.</t>
  </si>
  <si>
    <t>HQNTTVAN</t>
  </si>
  <si>
    <t>Nguyễn Thị Thảo Vân</t>
  </si>
  <si>
    <t>HQTPHUONG2</t>
  </si>
  <si>
    <t>Hủy BT 30 ngày 11/3/2026 do HT ngược vế.</t>
  </si>
  <si>
    <t>HQTTTHIEN1</t>
  </si>
  <si>
    <t>Trần Thị Thu Hiền</t>
  </si>
  <si>
    <t>HQNTHN</t>
  </si>
  <si>
    <t>HQNTNDIEP1</t>
  </si>
  <si>
    <t>Nguyễn Trần Ngọc Diệp</t>
  </si>
  <si>
    <t>HQAILIEN</t>
  </si>
  <si>
    <t>Hủy BT 21 ngày 12/03/2026 do HT ngược vế; Hủy do thao tác sai khi load file dữ liệu theo BK dẫn đến HT sai (từ BT số 1 đến 395 ngày 17/03/2026).</t>
  </si>
  <si>
    <t>HQNKNGAN</t>
  </si>
  <si>
    <t>Nguyễn Thị Kim Ngân</t>
  </si>
  <si>
    <t>HQDLINH</t>
  </si>
  <si>
    <t>KHNTLINH</t>
  </si>
  <si>
    <t>Nguyễn Thị Thùy Linh</t>
  </si>
  <si>
    <t>HQPTTRANG</t>
  </si>
  <si>
    <t>TC (I)</t>
  </si>
  <si>
    <t>II. HỆ THỐNG THANH TOÁN TẬP TRUNG</t>
  </si>
  <si>
    <t>huongtathu</t>
  </si>
  <si>
    <t>phuongtranthiviet</t>
  </si>
  <si>
    <t>trungbuiquang</t>
  </si>
  <si>
    <t>hongphamthu</t>
  </si>
  <si>
    <t>vannguyenthithao</t>
  </si>
  <si>
    <t>phuongtavietnam</t>
  </si>
  <si>
    <t>Hủy BT 162 ngày 02/03/2026 do chọn sai mã phí.</t>
  </si>
  <si>
    <t>hientranthithu12</t>
  </si>
  <si>
    <t>nganguyenthihang3</t>
  </si>
  <si>
    <t>diepnguyentranngoc</t>
  </si>
  <si>
    <t>liendinhthiai</t>
  </si>
  <si>
    <t>Hủy BT 25 ngày 20/03/2026 do chọn sai đối tượng thu phí.</t>
  </si>
  <si>
    <t>ngannguyenthikim18</t>
  </si>
  <si>
    <t>linhnguyendieu3</t>
  </si>
  <si>
    <t>linhnguyenthithuy</t>
  </si>
  <si>
    <t>trangphamthu3</t>
  </si>
  <si>
    <t>TC (II)</t>
  </si>
  <si>
    <t>Người làm báo cáo</t>
  </si>
  <si>
    <t>Tạ Việt Nam Phương</t>
  </si>
  <si>
    <t>Tổng bút toán</t>
  </si>
  <si>
    <t>T. công</t>
  </si>
  <si>
    <t>thủ công HKV thực</t>
  </si>
  <si>
    <t>HQTNGAN</t>
  </si>
  <si>
    <t>hiện PTT+PKT+PSW</t>
  </si>
  <si>
    <t>HQVTHANH</t>
  </si>
  <si>
    <t>HQNTVAN</t>
  </si>
  <si>
    <t>HQDTTNGA</t>
  </si>
  <si>
    <t>PCPTHONG</t>
  </si>
  <si>
    <t>THUTHUY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</si>
</sst>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1" x14ac:knownFonts="1">
    <font>
      <sz val="14"/>
      <color theme="1"/>
      <name val="Times New Roman"/>
      <family val="2"/>
    </font>
    <font>
      <b/>
      <sz val="10"/>
      <name val="Times New Roman"/>
      <family val="1"/>
    </font>
    <font>
      <sz val="11"/>
      <color theme="1"/>
      <name val="Times New Roman"/>
      <family val="1"/>
    </font>
    <font>
      <b/>
      <sz val="12"/>
      <name val="Times New Roman"/>
      <family val="1"/>
    </font>
    <font>
      <b/>
      <i/>
      <sz val="12"/>
      <name val="Times New Roman"/>
      <family val="1"/>
    </font>
    <font>
      <sz val="10"/>
      <color indexed="8"/>
      <name val="Arial"/>
      <family val="2"/>
    </font>
    <font>
      <sz val="10"/>
      <color indexed="8"/>
      <name val="Times New Roman"/>
      <family val="1"/>
    </font>
    <font>
      <b/>
      <sz val="8"/>
      <name val="Times New Roman"/>
      <family val="1"/>
    </font>
    <font>
      <b/>
      <sz val="8"/>
      <color indexed="8"/>
      <name val="Times New Roman"/>
      <family val="1"/>
    </font>
    <font>
      <sz val="11"/>
      <name val="Times New Roman"/>
      <family val="1"/>
    </font>
    <font>
      <sz val="11"/>
      <color indexed="8"/>
      <name val="Times New Roman"/>
      <family val="1"/>
    </font>
    <font>
      <sz val="9"/>
      <name val="Times New Roman"/>
      <family val="1"/>
    </font>
    <font>
      <sz val="9"/>
      <color indexed="8"/>
      <name val="Times New Roman"/>
      <family val="1"/>
    </font>
    <font>
      <sz val="9"/>
      <color rgb="FF000000"/>
      <name val="Times New Roman"/>
      <family val="1"/>
    </font>
    <font>
      <sz val="10"/>
      <color rgb="FF000000"/>
      <name val="Times New Roman"/>
      <family val="1"/>
    </font>
    <font>
      <b/>
      <sz val="10"/>
      <color theme="1"/>
      <name val="Times New Roman"/>
      <family val="1"/>
    </font>
    <font>
      <b/>
      <sz val="10"/>
      <color indexed="8"/>
      <name val="Times New Roman"/>
      <family val="1"/>
    </font>
    <font>
      <sz val="10"/>
      <name val="Times New Roman"/>
      <family val="1"/>
    </font>
    <font>
      <b/>
      <sz val="8"/>
      <color rgb="FF000000"/>
      <name val="Times New Roman"/>
      <family val="1"/>
    </font>
    <font>
      <b/>
      <sz val="11"/>
      <color theme="1"/>
      <name val="Times New Roman"/>
      <family val="1"/>
    </font>
    <font>
      <b/>
      <sz val="11"/>
      <name val="Times New Roman"/>
      <family val="1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FF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</borders>
  <cellStyleXfs count="2">
    <xf numFmtId="0" fontId="0" fillId="0" borderId="0"/>
    <xf numFmtId="0" fontId="5" fillId="0" borderId="0"/>
  </cellStyleXfs>
  <cellXfs count="51">
    <xf numFmtId="0" fontId="0" fillId="0" borderId="0" xfId="0"/>
    <xf numFmtId="0" fontId="1" fillId="0" borderId="0" xfId="0" applyFont="1" applyAlignment="1">
      <alignment horizontal="center"/>
    </xf>
    <xf numFmtId="0" fontId="1" fillId="0" borderId="0" xfId="0" applyFont="1" applyAlignment="1">
      <alignment horizontal="center"/>
    </xf>
    <xf numFmtId="0" fontId="2" fillId="0" borderId="0" xfId="0" applyFont="1"/>
    <xf numFmtId="4" fontId="2" fillId="0" borderId="0" xfId="0" applyNumberFormat="1" applyFont="1"/>
    <xf numFmtId="0" fontId="3" fillId="0" borderId="0" xfId="0" applyFont="1" applyAlignment="1">
      <alignment horizontal="center"/>
    </xf>
    <xf numFmtId="0" fontId="4" fillId="0" borderId="0" xfId="0" applyFont="1" applyAlignment="1">
      <alignment horizontal="center"/>
    </xf>
    <xf numFmtId="0" fontId="1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 wrapText="1"/>
    </xf>
    <xf numFmtId="4" fontId="1" fillId="0" borderId="1" xfId="0" applyNumberFormat="1" applyFont="1" applyBorder="1" applyAlignment="1">
      <alignment horizontal="center" vertical="center" wrapText="1"/>
    </xf>
    <xf numFmtId="0" fontId="1" fillId="0" borderId="1" xfId="0" applyFont="1" applyBorder="1" applyAlignment="1">
      <alignment horizontal="left" vertical="center"/>
    </xf>
    <xf numFmtId="0" fontId="6" fillId="0" borderId="1" xfId="1" applyFont="1" applyBorder="1" applyAlignment="1">
      <alignment horizontal="center" vertical="center" wrapText="1"/>
    </xf>
    <xf numFmtId="0" fontId="7" fillId="2" borderId="1" xfId="1" applyFont="1" applyFill="1" applyBorder="1" applyAlignment="1">
      <alignment horizontal="left" vertical="center" wrapText="1"/>
    </xf>
    <xf numFmtId="0" fontId="1" fillId="2" borderId="1" xfId="1" applyFont="1" applyFill="1" applyBorder="1" applyAlignment="1">
      <alignment horizontal="left" vertical="center" wrapText="1"/>
    </xf>
    <xf numFmtId="0" fontId="8" fillId="0" borderId="1" xfId="1" applyFont="1" applyBorder="1" applyAlignment="1">
      <alignment horizontal="left" vertical="center" wrapText="1"/>
    </xf>
    <xf numFmtId="3" fontId="9" fillId="0" borderId="1" xfId="0" applyNumberFormat="1" applyFont="1" applyBorder="1" applyAlignment="1">
      <alignment horizontal="right" vertical="center" wrapText="1"/>
    </xf>
    <xf numFmtId="0" fontId="10" fillId="0" borderId="1" xfId="0" applyFont="1" applyBorder="1" applyAlignment="1">
      <alignment horizontal="right" vertical="center" wrapText="1"/>
    </xf>
    <xf numFmtId="0" fontId="9" fillId="0" borderId="1" xfId="0" applyFont="1" applyBorder="1" applyAlignment="1">
      <alignment horizontal="right" vertical="center" wrapText="1"/>
    </xf>
    <xf numFmtId="4" fontId="9" fillId="2" borderId="1" xfId="0" applyNumberFormat="1" applyFont="1" applyFill="1" applyBorder="1" applyAlignment="1">
      <alignment horizontal="right" vertical="center" wrapText="1"/>
    </xf>
    <xf numFmtId="0" fontId="11" fillId="0" borderId="1" xfId="0" applyFont="1" applyBorder="1" applyAlignment="1">
      <alignment horizontal="left" vertical="center" wrapText="1"/>
    </xf>
    <xf numFmtId="0" fontId="1" fillId="2" borderId="1" xfId="1" applyFont="1" applyFill="1" applyBorder="1" applyAlignment="1">
      <alignment horizontal="left" vertical="center"/>
    </xf>
    <xf numFmtId="3" fontId="9" fillId="2" borderId="1" xfId="0" applyNumberFormat="1" applyFont="1" applyFill="1" applyBorder="1" applyAlignment="1">
      <alignment horizontal="right" vertical="center" wrapText="1"/>
    </xf>
    <xf numFmtId="0" fontId="12" fillId="0" borderId="1" xfId="0" quotePrefix="1" applyFont="1" applyBorder="1" applyAlignment="1">
      <alignment horizontal="left" vertical="center" wrapText="1"/>
    </xf>
    <xf numFmtId="0" fontId="8" fillId="0" borderId="1" xfId="1" applyFont="1" applyBorder="1" applyAlignment="1">
      <alignment vertical="center" wrapText="1"/>
    </xf>
    <xf numFmtId="0" fontId="13" fillId="0" borderId="1" xfId="0" quotePrefix="1" applyFont="1" applyBorder="1" applyAlignment="1">
      <alignment horizontal="left" vertical="center" wrapText="1"/>
    </xf>
    <xf numFmtId="0" fontId="8" fillId="2" borderId="1" xfId="1" applyFont="1" applyFill="1" applyBorder="1" applyAlignment="1">
      <alignment horizontal="left" vertical="center" wrapText="1"/>
    </xf>
    <xf numFmtId="0" fontId="14" fillId="0" borderId="1" xfId="0" quotePrefix="1" applyFont="1" applyBorder="1" applyAlignment="1">
      <alignment horizontal="left" vertical="center" wrapText="1"/>
    </xf>
    <xf numFmtId="0" fontId="15" fillId="0" borderId="1" xfId="0" applyFont="1" applyBorder="1" applyAlignment="1">
      <alignment vertical="center"/>
    </xf>
    <xf numFmtId="0" fontId="1" fillId="0" borderId="1" xfId="0" applyFont="1" applyBorder="1" applyAlignment="1">
      <alignment vertical="center"/>
    </xf>
    <xf numFmtId="3" fontId="1" fillId="0" borderId="1" xfId="0" applyNumberFormat="1" applyFont="1" applyBorder="1" applyAlignment="1">
      <alignment horizontal="right" vertical="center"/>
    </xf>
    <xf numFmtId="4" fontId="1" fillId="2" borderId="1" xfId="0" applyNumberFormat="1" applyFont="1" applyFill="1" applyBorder="1" applyAlignment="1">
      <alignment horizontal="right" vertical="center" wrapText="1"/>
    </xf>
    <xf numFmtId="0" fontId="16" fillId="0" borderId="1" xfId="0" applyFont="1" applyBorder="1" applyAlignment="1">
      <alignment vertical="center"/>
    </xf>
    <xf numFmtId="0" fontId="17" fillId="0" borderId="1" xfId="0" applyFont="1" applyBorder="1" applyAlignment="1">
      <alignment horizontal="left" vertical="center" wrapText="1"/>
    </xf>
    <xf numFmtId="0" fontId="6" fillId="0" borderId="1" xfId="0" quotePrefix="1" applyFont="1" applyBorder="1" applyAlignment="1">
      <alignment horizontal="left" vertical="center" wrapText="1"/>
    </xf>
    <xf numFmtId="0" fontId="18" fillId="3" borderId="1" xfId="0" applyFont="1" applyFill="1" applyBorder="1" applyAlignment="1">
      <alignment horizontal="left" vertical="center" wrapText="1"/>
    </xf>
    <xf numFmtId="0" fontId="3" fillId="0" borderId="0" xfId="0" applyFont="1" applyAlignment="1">
      <alignment horizontal="center"/>
    </xf>
    <xf numFmtId="0" fontId="19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0" fontId="19" fillId="0" borderId="0" xfId="0" applyFont="1"/>
    <xf numFmtId="0" fontId="2" fillId="0" borderId="0" xfId="0" applyFont="1" applyAlignment="1">
      <alignment wrapText="1"/>
    </xf>
    <xf numFmtId="3" fontId="2" fillId="0" borderId="0" xfId="0" applyNumberFormat="1" applyFont="1"/>
    <xf numFmtId="0" fontId="2" fillId="0" borderId="2" xfId="0" applyFont="1" applyBorder="1"/>
    <xf numFmtId="0" fontId="2" fillId="0" borderId="1" xfId="0" applyFont="1" applyBorder="1"/>
    <xf numFmtId="0" fontId="19" fillId="0" borderId="1" xfId="0" applyFont="1" applyBorder="1"/>
    <xf numFmtId="0" fontId="9" fillId="0" borderId="3" xfId="0" applyFont="1" applyBorder="1" applyAlignment="1">
      <alignment horizontal="left"/>
    </xf>
    <xf numFmtId="0" fontId="8" fillId="0" borderId="1" xfId="1" applyFont="1" applyBorder="1" applyAlignment="1">
      <alignment horizontal="left" vertical="center"/>
    </xf>
    <xf numFmtId="3" fontId="19" fillId="0" borderId="1" xfId="0" applyNumberFormat="1" applyFont="1" applyBorder="1" applyAlignment="1">
      <alignment horizontal="right"/>
    </xf>
    <xf numFmtId="3" fontId="20" fillId="0" borderId="1" xfId="0" applyNumberFormat="1" applyFont="1" applyBorder="1" applyAlignment="1">
      <alignment horizontal="right"/>
    </xf>
    <xf numFmtId="0" fontId="2" fillId="0" borderId="3" xfId="0" applyFont="1" applyBorder="1"/>
    <xf numFmtId="0" fontId="2" fillId="0" borderId="4" xfId="0" applyFont="1" applyBorder="1"/>
    <xf numFmtId="0" fontId="8" fillId="0" borderId="5" xfId="1" applyFont="1" applyBorder="1" applyAlignment="1">
      <alignment horizontal="left" vertical="center"/>
    </xf>
  </cellXfs>
  <cellStyles count="2">
    <cellStyle name="Normal" xfId="0" builtinId="0"/>
    <cellStyle name="Normal 2" xfId="1" xr:uid="{429127DA-2814-46A8-A4E9-348E58EBFF2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5D705F-F8D6-44CA-9BCD-860B1D50AEB1}">
  <dimension ref="A1:K71"/>
  <sheetViews>
    <sheetView tabSelected="1" workbookViewId="0">
      <selection activeCell="O12" sqref="O12"/>
    </sheetView>
  </sheetViews>
  <sheetFormatPr defaultRowHeight="18.75" x14ac:dyDescent="0.3"/>
  <cols>
    <col min="1" max="1" width="3.21875" style="3" customWidth="1"/>
    <col min="2" max="2" width="13.44140625" style="3" customWidth="1"/>
    <col min="3" max="3" width="15.21875" style="3" customWidth="1"/>
    <col min="4" max="4" width="12.5546875" style="3" customWidth="1"/>
    <col min="5" max="5" width="5.44140625" style="3" customWidth="1"/>
    <col min="6" max="6" width="3.6640625" style="3" customWidth="1"/>
    <col min="7" max="7" width="4.21875" style="3" customWidth="1"/>
    <col min="8" max="8" width="4.88671875" style="3" customWidth="1"/>
    <col min="9" max="9" width="5.109375" style="3" customWidth="1"/>
    <col min="10" max="10" width="5.88671875" style="4" customWidth="1"/>
    <col min="11" max="11" width="27.33203125" style="3" customWidth="1"/>
  </cols>
  <sheetData>
    <row r="1" spans="1:11" x14ac:dyDescent="0.3">
      <c r="A1" s="1" t="s">
        <v>0</v>
      </c>
      <c r="B1" s="1"/>
      <c r="C1" s="1"/>
      <c r="D1" s="1"/>
      <c r="E1" s="1"/>
      <c r="F1" s="1"/>
      <c r="G1" s="1"/>
      <c r="H1" s="2"/>
      <c r="I1" s="1" t="s">
        <v>1</v>
      </c>
      <c r="J1" s="1"/>
      <c r="K1" s="1"/>
    </row>
    <row r="2" spans="1:11" x14ac:dyDescent="0.3">
      <c r="A2" s="1" t="s">
        <v>2</v>
      </c>
      <c r="B2" s="1"/>
      <c r="C2" s="1"/>
      <c r="D2" s="1"/>
      <c r="E2" s="1"/>
      <c r="F2" s="1"/>
      <c r="G2" s="1"/>
      <c r="H2" s="2"/>
      <c r="I2" s="1" t="s">
        <v>3</v>
      </c>
      <c r="J2" s="1"/>
      <c r="K2" s="1"/>
    </row>
    <row r="5" spans="1:11" x14ac:dyDescent="0.3">
      <c r="A5" s="5" t="s">
        <v>4</v>
      </c>
      <c r="B5" s="5"/>
      <c r="C5" s="5"/>
      <c r="D5" s="5"/>
      <c r="E5" s="5"/>
      <c r="F5" s="5"/>
      <c r="G5" s="5"/>
      <c r="H5" s="5"/>
      <c r="I5" s="5"/>
      <c r="J5" s="5"/>
      <c r="K5" s="5"/>
    </row>
    <row r="6" spans="1:11" x14ac:dyDescent="0.3">
      <c r="A6" s="6" t="s">
        <v>5</v>
      </c>
      <c r="B6" s="6"/>
      <c r="C6" s="6"/>
      <c r="D6" s="6"/>
      <c r="E6" s="6"/>
      <c r="F6" s="6"/>
      <c r="G6" s="6"/>
      <c r="H6" s="6"/>
      <c r="I6" s="6"/>
      <c r="J6" s="6"/>
      <c r="K6" s="6"/>
    </row>
    <row r="7" spans="1:11" ht="102" x14ac:dyDescent="0.3">
      <c r="A7" s="7" t="s">
        <v>6</v>
      </c>
      <c r="B7" s="7" t="s">
        <v>7</v>
      </c>
      <c r="C7" s="7" t="s">
        <v>8</v>
      </c>
      <c r="D7" s="8" t="s">
        <v>9</v>
      </c>
      <c r="E7" s="8" t="s">
        <v>10</v>
      </c>
      <c r="F7" s="8" t="s">
        <v>11</v>
      </c>
      <c r="G7" s="8" t="s">
        <v>12</v>
      </c>
      <c r="H7" s="8" t="s">
        <v>13</v>
      </c>
      <c r="I7" s="8" t="s">
        <v>14</v>
      </c>
      <c r="J7" s="9" t="s">
        <v>15</v>
      </c>
      <c r="K7" s="8" t="s">
        <v>16</v>
      </c>
    </row>
    <row r="8" spans="1:11" x14ac:dyDescent="0.3">
      <c r="A8" s="10" t="s">
        <v>17</v>
      </c>
      <c r="B8" s="10"/>
      <c r="C8" s="10"/>
      <c r="D8" s="10"/>
      <c r="E8" s="10"/>
      <c r="F8" s="10"/>
      <c r="G8" s="10"/>
      <c r="H8" s="10"/>
      <c r="I8" s="10"/>
      <c r="J8" s="10"/>
      <c r="K8" s="10"/>
    </row>
    <row r="9" spans="1:11" x14ac:dyDescent="0.3">
      <c r="A9" s="11">
        <v>1</v>
      </c>
      <c r="B9" s="12" t="s">
        <v>18</v>
      </c>
      <c r="C9" s="13" t="s">
        <v>19</v>
      </c>
      <c r="D9" s="14" t="s">
        <v>20</v>
      </c>
      <c r="E9" s="15">
        <v>464</v>
      </c>
      <c r="F9" s="16"/>
      <c r="G9" s="17"/>
      <c r="H9" s="17"/>
      <c r="I9" s="17"/>
      <c r="J9" s="18">
        <f t="shared" ref="J9:J16" si="0">I9/E9*100</f>
        <v>0</v>
      </c>
      <c r="K9" s="19"/>
    </row>
    <row r="10" spans="1:11" ht="60" x14ac:dyDescent="0.3">
      <c r="A10" s="11">
        <v>2</v>
      </c>
      <c r="B10" s="12" t="s">
        <v>21</v>
      </c>
      <c r="C10" s="20" t="s">
        <v>22</v>
      </c>
      <c r="D10" s="14" t="s">
        <v>23</v>
      </c>
      <c r="E10" s="15">
        <v>611</v>
      </c>
      <c r="F10" s="16"/>
      <c r="G10" s="17">
        <v>4</v>
      </c>
      <c r="H10" s="17">
        <v>1</v>
      </c>
      <c r="I10" s="17">
        <v>3</v>
      </c>
      <c r="J10" s="18">
        <f t="shared" si="0"/>
        <v>0.49099836333878888</v>
      </c>
      <c r="K10" s="19" t="s">
        <v>24</v>
      </c>
    </row>
    <row r="11" spans="1:11" x14ac:dyDescent="0.3">
      <c r="A11" s="11">
        <v>3</v>
      </c>
      <c r="B11" s="12" t="s">
        <v>25</v>
      </c>
      <c r="C11" s="20" t="s">
        <v>26</v>
      </c>
      <c r="D11" s="14" t="s">
        <v>27</v>
      </c>
      <c r="E11" s="21">
        <v>814</v>
      </c>
      <c r="F11" s="16"/>
      <c r="G11" s="17">
        <v>1</v>
      </c>
      <c r="H11" s="17"/>
      <c r="I11" s="17">
        <v>1</v>
      </c>
      <c r="J11" s="18">
        <f t="shared" si="0"/>
        <v>0.12285012285012285</v>
      </c>
      <c r="K11" s="22" t="s">
        <v>28</v>
      </c>
    </row>
    <row r="12" spans="1:11" x14ac:dyDescent="0.3">
      <c r="A12" s="11">
        <v>4</v>
      </c>
      <c r="B12" s="12" t="s">
        <v>29</v>
      </c>
      <c r="C12" s="20" t="s">
        <v>30</v>
      </c>
      <c r="D12" s="23" t="s">
        <v>31</v>
      </c>
      <c r="E12" s="15">
        <v>1913</v>
      </c>
      <c r="F12" s="16"/>
      <c r="G12" s="17"/>
      <c r="H12" s="17"/>
      <c r="I12" s="17"/>
      <c r="J12" s="18">
        <f t="shared" si="0"/>
        <v>0</v>
      </c>
      <c r="K12" s="24"/>
    </row>
    <row r="13" spans="1:11" ht="48" x14ac:dyDescent="0.3">
      <c r="A13" s="11">
        <v>5</v>
      </c>
      <c r="B13" s="12" t="s">
        <v>32</v>
      </c>
      <c r="C13" s="13" t="s">
        <v>33</v>
      </c>
      <c r="D13" s="14" t="s">
        <v>34</v>
      </c>
      <c r="E13" s="15">
        <v>2234</v>
      </c>
      <c r="F13" s="16"/>
      <c r="G13" s="17">
        <v>396</v>
      </c>
      <c r="H13" s="17"/>
      <c r="I13" s="17">
        <v>396</v>
      </c>
      <c r="J13" s="18">
        <f t="shared" si="0"/>
        <v>17.726051924798565</v>
      </c>
      <c r="K13" s="24" t="s">
        <v>35</v>
      </c>
    </row>
    <row r="14" spans="1:11" x14ac:dyDescent="0.3">
      <c r="A14" s="11">
        <v>6</v>
      </c>
      <c r="B14" s="25" t="s">
        <v>36</v>
      </c>
      <c r="C14" s="13" t="s">
        <v>37</v>
      </c>
      <c r="D14" s="14" t="s">
        <v>38</v>
      </c>
      <c r="E14" s="15">
        <v>1049</v>
      </c>
      <c r="F14" s="16"/>
      <c r="G14" s="17"/>
      <c r="H14" s="17"/>
      <c r="I14" s="17"/>
      <c r="J14" s="18">
        <f t="shared" si="0"/>
        <v>0</v>
      </c>
      <c r="K14" s="26"/>
    </row>
    <row r="15" spans="1:11" x14ac:dyDescent="0.3">
      <c r="A15" s="11">
        <v>7</v>
      </c>
      <c r="B15" s="12" t="s">
        <v>39</v>
      </c>
      <c r="C15" s="20" t="s">
        <v>40</v>
      </c>
      <c r="D15" s="14" t="s">
        <v>41</v>
      </c>
      <c r="E15" s="15">
        <v>4563</v>
      </c>
      <c r="F15" s="16"/>
      <c r="G15" s="17"/>
      <c r="H15" s="17"/>
      <c r="I15" s="17"/>
      <c r="J15" s="18">
        <f t="shared" si="0"/>
        <v>0</v>
      </c>
      <c r="K15" s="26"/>
    </row>
    <row r="16" spans="1:11" x14ac:dyDescent="0.3">
      <c r="A16" s="27"/>
      <c r="B16" s="28" t="s">
        <v>42</v>
      </c>
      <c r="C16" s="28"/>
      <c r="D16" s="27"/>
      <c r="E16" s="29">
        <f>SUM(E9:E15)</f>
        <v>11648</v>
      </c>
      <c r="F16" s="29"/>
      <c r="G16" s="29">
        <f>SUM(G9:G15)</f>
        <v>401</v>
      </c>
      <c r="H16" s="29">
        <f>SUM(H9:H15)</f>
        <v>1</v>
      </c>
      <c r="I16" s="29">
        <f>SUM(I9:I15)</f>
        <v>400</v>
      </c>
      <c r="J16" s="30">
        <f t="shared" si="0"/>
        <v>3.4340659340659343</v>
      </c>
      <c r="K16" s="31"/>
    </row>
    <row r="17" spans="1:11" x14ac:dyDescent="0.3">
      <c r="A17" s="10" t="s">
        <v>43</v>
      </c>
      <c r="B17" s="10"/>
      <c r="C17" s="10"/>
      <c r="D17" s="10"/>
      <c r="E17" s="10"/>
      <c r="F17" s="10"/>
      <c r="G17" s="10"/>
      <c r="H17" s="10"/>
      <c r="I17" s="10"/>
      <c r="J17" s="10"/>
      <c r="K17" s="10"/>
    </row>
    <row r="18" spans="1:11" x14ac:dyDescent="0.3">
      <c r="A18" s="11">
        <v>1</v>
      </c>
      <c r="B18" s="12" t="s">
        <v>44</v>
      </c>
      <c r="C18" s="13" t="s">
        <v>19</v>
      </c>
      <c r="D18" s="14" t="s">
        <v>45</v>
      </c>
      <c r="E18" s="15">
        <v>301</v>
      </c>
      <c r="F18" s="16"/>
      <c r="G18" s="17"/>
      <c r="H18" s="17"/>
      <c r="I18" s="17"/>
      <c r="J18" s="18">
        <f t="shared" ref="J18:J25" si="1">I18/E18*100</f>
        <v>0</v>
      </c>
      <c r="K18" s="32"/>
    </row>
    <row r="19" spans="1:11" x14ac:dyDescent="0.3">
      <c r="A19" s="11">
        <v>2</v>
      </c>
      <c r="B19" s="12" t="s">
        <v>46</v>
      </c>
      <c r="C19" s="20" t="s">
        <v>22</v>
      </c>
      <c r="D19" s="14" t="s">
        <v>47</v>
      </c>
      <c r="E19" s="15">
        <v>226</v>
      </c>
      <c r="F19" s="16"/>
      <c r="G19" s="17"/>
      <c r="H19" s="17"/>
      <c r="I19" s="17"/>
      <c r="J19" s="18">
        <f t="shared" si="1"/>
        <v>0</v>
      </c>
      <c r="K19" s="33"/>
    </row>
    <row r="20" spans="1:11" ht="25.5" x14ac:dyDescent="0.3">
      <c r="A20" s="11">
        <v>3</v>
      </c>
      <c r="B20" s="12" t="s">
        <v>48</v>
      </c>
      <c r="C20" s="20" t="s">
        <v>26</v>
      </c>
      <c r="D20" s="14" t="s">
        <v>49</v>
      </c>
      <c r="E20" s="15">
        <v>300</v>
      </c>
      <c r="F20" s="16"/>
      <c r="G20" s="17">
        <v>1</v>
      </c>
      <c r="H20" s="17"/>
      <c r="I20" s="17">
        <v>1</v>
      </c>
      <c r="J20" s="18">
        <f t="shared" si="1"/>
        <v>0.33333333333333337</v>
      </c>
      <c r="K20" s="33" t="s">
        <v>50</v>
      </c>
    </row>
    <row r="21" spans="1:11" x14ac:dyDescent="0.3">
      <c r="A21" s="11">
        <v>4</v>
      </c>
      <c r="B21" s="12" t="s">
        <v>51</v>
      </c>
      <c r="C21" s="20" t="s">
        <v>30</v>
      </c>
      <c r="D21" s="14" t="s">
        <v>52</v>
      </c>
      <c r="E21" s="15">
        <v>1316</v>
      </c>
      <c r="F21" s="16"/>
      <c r="G21" s="17"/>
      <c r="H21" s="17"/>
      <c r="I21" s="17"/>
      <c r="J21" s="18">
        <f t="shared" si="1"/>
        <v>0</v>
      </c>
      <c r="K21" s="33"/>
    </row>
    <row r="22" spans="1:11" ht="25.5" x14ac:dyDescent="0.3">
      <c r="A22" s="11">
        <v>5</v>
      </c>
      <c r="B22" s="34" t="s">
        <v>53</v>
      </c>
      <c r="C22" s="13" t="s">
        <v>33</v>
      </c>
      <c r="D22" s="14" t="s">
        <v>54</v>
      </c>
      <c r="E22" s="15">
        <v>196</v>
      </c>
      <c r="F22" s="16"/>
      <c r="G22" s="17">
        <v>1</v>
      </c>
      <c r="H22" s="17"/>
      <c r="I22" s="17">
        <v>1</v>
      </c>
      <c r="J22" s="18">
        <f t="shared" si="1"/>
        <v>0.51020408163265307</v>
      </c>
      <c r="K22" s="33" t="s">
        <v>55</v>
      </c>
    </row>
    <row r="23" spans="1:11" x14ac:dyDescent="0.3">
      <c r="A23" s="11">
        <v>6</v>
      </c>
      <c r="B23" s="25" t="s">
        <v>56</v>
      </c>
      <c r="C23" s="13" t="s">
        <v>37</v>
      </c>
      <c r="D23" s="14" t="s">
        <v>57</v>
      </c>
      <c r="E23" s="15">
        <v>266</v>
      </c>
      <c r="F23" s="16"/>
      <c r="G23" s="17"/>
      <c r="H23" s="17"/>
      <c r="I23" s="17"/>
      <c r="J23" s="18">
        <f t="shared" si="1"/>
        <v>0</v>
      </c>
      <c r="K23" s="33"/>
    </row>
    <row r="24" spans="1:11" x14ac:dyDescent="0.3">
      <c r="A24" s="11">
        <v>7</v>
      </c>
      <c r="B24" s="12" t="s">
        <v>58</v>
      </c>
      <c r="C24" s="20" t="s">
        <v>40</v>
      </c>
      <c r="D24" s="14" t="s">
        <v>59</v>
      </c>
      <c r="E24" s="15">
        <v>139</v>
      </c>
      <c r="F24" s="16"/>
      <c r="G24" s="17"/>
      <c r="H24" s="17"/>
      <c r="I24" s="17"/>
      <c r="J24" s="18">
        <f t="shared" si="1"/>
        <v>0</v>
      </c>
      <c r="K24" s="33"/>
    </row>
    <row r="25" spans="1:11" x14ac:dyDescent="0.3">
      <c r="A25" s="27"/>
      <c r="B25" s="28" t="s">
        <v>60</v>
      </c>
      <c r="C25" s="28"/>
      <c r="D25" s="27"/>
      <c r="E25" s="29">
        <f>SUM(E18:E24)</f>
        <v>2744</v>
      </c>
      <c r="F25" s="29"/>
      <c r="G25" s="29">
        <f>SUM(G18:G22)</f>
        <v>2</v>
      </c>
      <c r="H25" s="29">
        <f>SUM(H18:H22)</f>
        <v>0</v>
      </c>
      <c r="I25" s="29">
        <f>SUM(I18:I22)</f>
        <v>2</v>
      </c>
      <c r="J25" s="30">
        <f t="shared" si="1"/>
        <v>7.2886297376093298E-2</v>
      </c>
      <c r="K25" s="31"/>
    </row>
    <row r="26" spans="1:11" x14ac:dyDescent="0.3">
      <c r="I26" s="35"/>
      <c r="K26" s="36" t="s">
        <v>61</v>
      </c>
    </row>
    <row r="27" spans="1:11" x14ac:dyDescent="0.3">
      <c r="J27" s="3"/>
      <c r="K27" s="37"/>
    </row>
    <row r="28" spans="1:11" x14ac:dyDescent="0.3">
      <c r="J28" s="3"/>
      <c r="K28" s="37"/>
    </row>
    <row r="29" spans="1:11" x14ac:dyDescent="0.3">
      <c r="J29" s="3"/>
      <c r="K29" s="37"/>
    </row>
    <row r="30" spans="1:11" x14ac:dyDescent="0.3">
      <c r="H30" s="38"/>
      <c r="J30" s="3"/>
      <c r="K30" s="36" t="s">
        <v>62</v>
      </c>
    </row>
    <row r="31" spans="1:11" x14ac:dyDescent="0.3">
      <c r="J31" s="3"/>
    </row>
    <row r="32" spans="1:11" x14ac:dyDescent="0.3">
      <c r="J32" s="3"/>
    </row>
    <row r="33" spans="6:10" x14ac:dyDescent="0.3">
      <c r="G33" s="39"/>
      <c r="I33" s="35"/>
      <c r="J33" s="3"/>
    </row>
    <row r="35" spans="6:10" x14ac:dyDescent="0.3">
      <c r="H35" s="4"/>
      <c r="J35" s="3"/>
    </row>
    <row r="36" spans="6:10" x14ac:dyDescent="0.3">
      <c r="F36" s="40"/>
    </row>
    <row r="37" spans="6:10" x14ac:dyDescent="0.3">
      <c r="J37" s="3"/>
    </row>
    <row r="57" spans="3:10" x14ac:dyDescent="0.3">
      <c r="C57" s="41" t="s">
        <v>63</v>
      </c>
      <c r="D57" s="42"/>
      <c r="E57" s="43" t="s">
        <v>64</v>
      </c>
      <c r="J57" s="3"/>
    </row>
    <row r="58" spans="3:10" x14ac:dyDescent="0.3">
      <c r="C58" s="44" t="s">
        <v>65</v>
      </c>
      <c r="D58" s="45" t="s">
        <v>66</v>
      </c>
      <c r="E58" s="46">
        <v>1521</v>
      </c>
      <c r="J58" s="3"/>
    </row>
    <row r="59" spans="3:10" x14ac:dyDescent="0.3">
      <c r="C59" s="44" t="s">
        <v>67</v>
      </c>
      <c r="D59" s="45" t="s">
        <v>68</v>
      </c>
      <c r="E59" s="47">
        <v>5964</v>
      </c>
      <c r="J59" s="3"/>
    </row>
    <row r="60" spans="3:10" x14ac:dyDescent="0.3">
      <c r="C60" s="44"/>
      <c r="D60" s="45" t="s">
        <v>69</v>
      </c>
      <c r="E60" s="47">
        <v>3553</v>
      </c>
      <c r="J60" s="3"/>
    </row>
    <row r="61" spans="3:10" x14ac:dyDescent="0.3">
      <c r="C61" s="48"/>
      <c r="D61" s="45" t="s">
        <v>70</v>
      </c>
      <c r="E61" s="47">
        <v>1910</v>
      </c>
      <c r="J61" s="3"/>
    </row>
    <row r="62" spans="3:10" x14ac:dyDescent="0.3">
      <c r="C62" s="48"/>
      <c r="D62" s="45" t="s">
        <v>71</v>
      </c>
      <c r="E62" s="47">
        <v>5211</v>
      </c>
      <c r="J62" s="3"/>
    </row>
    <row r="63" spans="3:10" x14ac:dyDescent="0.3">
      <c r="C63" s="49"/>
      <c r="D63" s="45" t="s">
        <v>72</v>
      </c>
      <c r="E63" s="47">
        <v>3124</v>
      </c>
      <c r="J63" s="3"/>
    </row>
    <row r="64" spans="3:10" x14ac:dyDescent="0.3">
      <c r="E64" s="40"/>
      <c r="J64" s="3"/>
    </row>
    <row r="65" spans="3:10" x14ac:dyDescent="0.3">
      <c r="D65" s="45" t="s">
        <v>66</v>
      </c>
      <c r="E65" s="46" t="e">
        <f>SUM(#REF!)</f>
        <v>#REF!</v>
      </c>
      <c r="J65" s="3"/>
    </row>
    <row r="66" spans="3:10" x14ac:dyDescent="0.3">
      <c r="D66" s="45" t="s">
        <v>68</v>
      </c>
      <c r="E66" s="47" t="e">
        <f>SUM(#REF!)</f>
        <v>#REF!</v>
      </c>
      <c r="J66" s="3"/>
    </row>
    <row r="67" spans="3:10" x14ac:dyDescent="0.3">
      <c r="C67" s="40"/>
      <c r="D67" s="45" t="s">
        <v>69</v>
      </c>
      <c r="E67" s="47" t="e">
        <f>SUM(#REF!)</f>
        <v>#REF!</v>
      </c>
      <c r="J67" s="3"/>
    </row>
    <row r="68" spans="3:10" x14ac:dyDescent="0.3">
      <c r="C68" s="40"/>
      <c r="D68" s="50" t="s">
        <v>70</v>
      </c>
      <c r="E68" s="47" t="e">
        <f>SUM(#REF!)</f>
        <v>#REF!</v>
      </c>
      <c r="J68" s="3"/>
    </row>
    <row r="69" spans="3:10" x14ac:dyDescent="0.3">
      <c r="D69" s="45" t="s">
        <v>71</v>
      </c>
      <c r="E69" s="47" t="e">
        <f>SUM(#REF!)</f>
        <v>#REF!</v>
      </c>
      <c r="J69" s="3"/>
    </row>
    <row r="70" spans="3:10" x14ac:dyDescent="0.3">
      <c r="D70" s="45" t="s">
        <v>72</v>
      </c>
      <c r="E70" s="47">
        <v>0</v>
      </c>
      <c r="J70" s="3"/>
    </row>
    <row r="71" spans="3:10" x14ac:dyDescent="0.3">
      <c r="E71" s="40" t="e">
        <f>SUM(E65:E70)</f>
        <v>#REF!</v>
      </c>
      <c r="J71" s="3"/>
    </row>
  </sheetData>
  <mergeCells count="8">
    <mergeCell ref="A8:K8"/>
    <mergeCell ref="A17:K17"/>
    <mergeCell ref="A1:G1"/>
    <mergeCell ref="I1:K1"/>
    <mergeCell ref="A2:G2"/>
    <mergeCell ref="I2:K2"/>
    <mergeCell ref="A5:K5"/>
    <mergeCell ref="A6:K6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T3.2026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Khanh Bui Quoc</dc:creator>
  <cp:lastModifiedBy>Khanh Bui Quoc</cp:lastModifiedBy>
  <dcterms:created xsi:type="dcterms:W3CDTF">2026-05-13T03:58:08Z</dcterms:created>
  <dcterms:modified xsi:type="dcterms:W3CDTF">2026-05-13T03:59:16Z</dcterms:modified>
</cp:coreProperties>
</file>